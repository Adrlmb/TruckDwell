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AP" sheetId="1" state="visible" r:id="rId3"/>
    <sheet name="kcl 58" sheetId="2" state="visible" r:id="rId4"/>
    <sheet name="TSP" sheetId="3" state="visible" r:id="rId5"/>
    <sheet name="ROCHA UMA" sheetId="4" state="visible" r:id="rId6"/>
    <sheet name="ENXOFRE 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<sst xmlns="http://schemas.openxmlformats.org/spreadsheetml/2006/main" count="130" uniqueCount="30">
  <si>
    <t xml:space="preserve">Cálculo de Estadia</t>
  </si>
  <si>
    <t xml:space="preserve">Fornecedor</t>
  </si>
  <si>
    <t xml:space="preserve">OCP</t>
  </si>
  <si>
    <t xml:space="preserve">Transportador</t>
  </si>
  <si>
    <t xml:space="preserve">BORGNO</t>
  </si>
  <si>
    <t xml:space="preserve">NF</t>
  </si>
  <si>
    <t xml:space="preserve">CTR</t>
  </si>
  <si>
    <t xml:space="preserve">Produto</t>
  </si>
  <si>
    <t xml:space="preserve">TSP 00-46-00 GR</t>
  </si>
  <si>
    <t xml:space="preserve">Motorista</t>
  </si>
  <si>
    <t xml:space="preserve">DARLISON DE SOUZA SANTOS</t>
  </si>
  <si>
    <t xml:space="preserve">Data</t>
  </si>
  <si>
    <t xml:space="preserve">Banco</t>
  </si>
  <si>
    <t xml:space="preserve">X</t>
  </si>
  <si>
    <t xml:space="preserve">Conta </t>
  </si>
  <si>
    <t xml:space="preserve">Data / Hora Chegada</t>
  </si>
  <si>
    <t xml:space="preserve">Valor  R$ </t>
  </si>
  <si>
    <t xml:space="preserve">Data / Hora após 12 horas</t>
  </si>
  <si>
    <t xml:space="preserve">Quantidade Horas</t>
  </si>
  <si>
    <t xml:space="preserve">Peso NF</t>
  </si>
  <si>
    <t xml:space="preserve">Valor Total R$ </t>
  </si>
  <si>
    <t xml:space="preserve">Data / Hora Saída</t>
  </si>
  <si>
    <t xml:space="preserve">MOTIVO: SILO CHEIO</t>
  </si>
  <si>
    <t xml:space="preserve">ASS.:</t>
  </si>
  <si>
    <t xml:space="preserve"> </t>
  </si>
  <si>
    <t xml:space="preserve">SALITRE</t>
  </si>
  <si>
    <t xml:space="preserve">CARVALHO TRANSPORTES</t>
  </si>
  <si>
    <t xml:space="preserve">ROCHA CMISS</t>
  </si>
  <si>
    <t xml:space="preserve">JOSÉ CARLOS XAVIER DA SILVA</t>
  </si>
  <si>
    <t xml:space="preserve">MOTIVO: ACÚMULO DE VEÍCULOS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</si>
</sst>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/m/yyyy"/>
    <numFmt numFmtId="166" formatCode="d/m/yyyy\ hh:mm"/>
    <numFmt numFmtId="167" formatCode="hh:mm"/>
    <numFmt numFmtId="168" formatCode="&quot;R$ &quot;#,##0.00"/>
    <numFmt numFmtId="169" formatCode="_(* #,##0.00_);_(* \(#,##0.00\);_(* \-??_);_(@_)"/>
    <numFmt numFmtId="170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CCCC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3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4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4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17.42"/>
    <col collapsed="false" customWidth="true" hidden="false" outlineLevel="0" max="3" min="3" style="0" width="16.43"/>
    <col collapsed="false" customWidth="true" hidden="false" outlineLevel="0" max="4" min="4" style="0" width="10.14"/>
    <col collapsed="false" customWidth="true" hidden="false" outlineLevel="0" max="5" min="5" style="0" width="16.71"/>
    <col collapsed="false" customWidth="true" hidden="false" outlineLevel="0" max="6" min="6" style="0" width="10.85"/>
    <col collapsed="false" customWidth="true" hidden="false" outlineLevel="0" max="7" min="7" style="0" width="13.42"/>
    <col collapsed="false" customWidth="true" hidden="false" outlineLevel="0" max="8" min="8" style="0" width="3.71"/>
  </cols>
  <sheetData>
    <row r="1" customFormat="false" ht="19.7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3"/>
    </row>
    <row r="2" customFormat="false" ht="15" hidden="false" customHeight="false" outlineLevel="0" collapsed="false">
      <c r="A2" s="4"/>
      <c r="H2" s="5"/>
    </row>
    <row r="3" customFormat="false" ht="15" hidden="false" customHeight="false" outlineLevel="0" collapsed="false">
      <c r="A3" s="4"/>
      <c r="B3" s="6" t="s">
        <v>1</v>
      </c>
      <c r="C3" s="7" t="s">
        <v>2</v>
      </c>
      <c r="D3" s="8"/>
      <c r="E3" s="6" t="s">
        <v>3</v>
      </c>
      <c r="F3" s="9" t="s">
        <v>4</v>
      </c>
      <c r="G3" s="7"/>
      <c r="H3" s="5"/>
    </row>
    <row r="4" customFormat="false" ht="15" hidden="false" customHeight="false" outlineLevel="0" collapsed="false">
      <c r="A4" s="4"/>
      <c r="B4" s="10" t="s">
        <v>5</v>
      </c>
      <c r="C4" s="11" t="n">
        <v>2486</v>
      </c>
      <c r="D4" s="8"/>
      <c r="E4" s="10" t="s">
        <v>6</v>
      </c>
      <c r="F4" s="12" t="n">
        <v>44539</v>
      </c>
      <c r="G4" s="13"/>
      <c r="H4" s="5"/>
    </row>
    <row r="5" customFormat="false" ht="15" hidden="false" customHeight="false" outlineLevel="0" collapsed="false">
      <c r="A5" s="4"/>
      <c r="B5" s="10" t="s">
        <v>7</v>
      </c>
      <c r="C5" s="13" t="s">
        <v>8</v>
      </c>
      <c r="D5" s="8"/>
      <c r="E5" s="10" t="s">
        <v>9</v>
      </c>
      <c r="F5" s="12" t="s">
        <v>10</v>
      </c>
      <c r="G5" s="13"/>
      <c r="H5" s="5"/>
    </row>
    <row r="6" customFormat="false" ht="15" hidden="false" customHeight="false" outlineLevel="0" collapsed="false">
      <c r="A6" s="4"/>
      <c r="B6" s="14" t="s">
        <v>11</v>
      </c>
      <c r="C6" s="15" t="n">
        <f aca="true">TODAY()</f>
        <v>45953</v>
      </c>
      <c r="D6" s="8"/>
      <c r="E6" s="10" t="s">
        <v>12</v>
      </c>
      <c r="F6" s="8" t="s">
        <v>13</v>
      </c>
      <c r="G6" s="16"/>
      <c r="H6" s="5"/>
    </row>
    <row r="7" customFormat="false" ht="15" hidden="false" customHeight="false" outlineLevel="0" collapsed="false">
      <c r="A7" s="4"/>
      <c r="B7" s="8"/>
      <c r="C7" s="17"/>
      <c r="D7" s="8"/>
      <c r="E7" s="14" t="s">
        <v>14</v>
      </c>
      <c r="F7" s="18" t="s">
        <v>13</v>
      </c>
      <c r="G7" s="19"/>
      <c r="H7" s="5"/>
    </row>
    <row r="8" customFormat="false" ht="15" hidden="false" customHeight="false" outlineLevel="0" collapsed="false">
      <c r="A8" s="4"/>
      <c r="B8" s="20" t="s">
        <v>15</v>
      </c>
      <c r="C8" s="20"/>
      <c r="D8" s="8"/>
      <c r="E8" s="8"/>
      <c r="F8" s="8"/>
      <c r="G8" s="8"/>
      <c r="H8" s="5"/>
    </row>
    <row r="9" customFormat="false" ht="15" hidden="false" customHeight="false" outlineLevel="0" collapsed="false">
      <c r="A9" s="4"/>
      <c r="B9" s="21" t="n">
        <v>45434.6576388889</v>
      </c>
      <c r="C9" s="21"/>
      <c r="D9" s="8"/>
      <c r="E9" s="8"/>
      <c r="F9" s="8"/>
      <c r="G9" s="8"/>
      <c r="H9" s="5"/>
    </row>
    <row r="10" customFormat="false" ht="15" hidden="false" customHeight="false" outlineLevel="0" collapsed="false">
      <c r="A10" s="4"/>
      <c r="B10" s="22"/>
      <c r="C10" s="22"/>
      <c r="D10" s="8"/>
      <c r="E10" s="6" t="s">
        <v>16</v>
      </c>
      <c r="F10" s="23" t="n">
        <v>0.5</v>
      </c>
      <c r="G10" s="23"/>
      <c r="H10" s="5"/>
    </row>
    <row r="11" customFormat="false" ht="15" hidden="false" customHeight="false" outlineLevel="0" collapsed="false">
      <c r="A11" s="4"/>
      <c r="B11" s="24" t="s">
        <v>17</v>
      </c>
      <c r="C11" s="24"/>
      <c r="D11" s="8"/>
      <c r="E11" s="10" t="s">
        <v>18</v>
      </c>
      <c r="F11" s="25" t="n">
        <f aca="false">(B15-B12)*24</f>
        <v>36.2500000001164</v>
      </c>
      <c r="G11" s="25"/>
      <c r="H11" s="5"/>
    </row>
    <row r="12" customFormat="false" ht="15" hidden="false" customHeight="false" outlineLevel="0" collapsed="false">
      <c r="A12" s="4"/>
      <c r="B12" s="26" t="n">
        <f aca="false">B9+0.5</f>
        <v>45435.1576388889</v>
      </c>
      <c r="C12" s="26"/>
      <c r="D12" s="8"/>
      <c r="E12" s="10" t="s">
        <v>19</v>
      </c>
      <c r="F12" s="27" t="n">
        <v>45.39</v>
      </c>
      <c r="G12" s="27"/>
      <c r="H12" s="5"/>
    </row>
    <row r="13" customFormat="false" ht="15" hidden="false" customHeight="false" outlineLevel="0" collapsed="false">
      <c r="A13" s="4"/>
      <c r="B13" s="8"/>
      <c r="C13" s="8"/>
      <c r="D13" s="8"/>
      <c r="E13" s="14" t="s">
        <v>20</v>
      </c>
      <c r="F13" s="28" t="n">
        <f aca="false">F10*F11*F12</f>
        <v>822.693750002642</v>
      </c>
      <c r="G13" s="28"/>
      <c r="H13" s="5"/>
    </row>
    <row r="14" customFormat="false" ht="15" hidden="false" customHeight="false" outlineLevel="0" collapsed="false">
      <c r="A14" s="4"/>
      <c r="B14" s="20" t="s">
        <v>21</v>
      </c>
      <c r="C14" s="20"/>
      <c r="D14" s="8"/>
      <c r="E14" s="29" t="s">
        <v>22</v>
      </c>
      <c r="F14" s="29"/>
      <c r="G14" s="29"/>
      <c r="H14" s="5"/>
    </row>
    <row r="15" customFormat="false" ht="15" hidden="false" customHeight="false" outlineLevel="0" collapsed="false">
      <c r="A15" s="4"/>
      <c r="B15" s="30" t="n">
        <v>45436.6680555556</v>
      </c>
      <c r="C15" s="30"/>
      <c r="D15" s="8"/>
      <c r="E15" s="8" t="s">
        <v>23</v>
      </c>
      <c r="F15" s="8" t="s">
        <v>24</v>
      </c>
      <c r="G15" s="8"/>
      <c r="H15" s="5"/>
    </row>
    <row r="16" customFormat="false" ht="15" hidden="false" customHeight="false" outlineLevel="0" collapsed="false">
      <c r="A16" s="4"/>
      <c r="B16" s="8"/>
      <c r="C16" s="8"/>
      <c r="D16" s="31"/>
      <c r="F16" s="8"/>
      <c r="G16" s="8"/>
      <c r="H16" s="5"/>
    </row>
    <row r="17" customFormat="false" ht="15" hidden="false" customHeight="false" outlineLevel="0" collapsed="false">
      <c r="A17" s="32"/>
      <c r="B17" s="33"/>
      <c r="C17" s="33"/>
      <c r="D17" s="33"/>
      <c r="E17" s="33"/>
      <c r="F17" s="33"/>
      <c r="G17" s="33"/>
      <c r="H17" s="34"/>
    </row>
  </sheetData>
  <mergeCells count="12">
    <mergeCell ref="B1:G1"/>
    <mergeCell ref="B8:C8"/>
    <mergeCell ref="B9:C9"/>
    <mergeCell ref="F10:G10"/>
    <mergeCell ref="B11:C11"/>
    <mergeCell ref="F11:G11"/>
    <mergeCell ref="B12:C12"/>
    <mergeCell ref="F12:G12"/>
    <mergeCell ref="F13:G13"/>
    <mergeCell ref="B14:C14"/>
    <mergeCell ref="E14:G14"/>
    <mergeCell ref="B15:C1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5" activeCellId="0" sqref="L2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17.42"/>
    <col collapsed="false" customWidth="true" hidden="false" outlineLevel="0" max="3" min="3" style="0" width="16.43"/>
    <col collapsed="false" customWidth="true" hidden="false" outlineLevel="0" max="4" min="4" style="0" width="10.14"/>
    <col collapsed="false" customWidth="true" hidden="false" outlineLevel="0" max="5" min="5" style="0" width="16.71"/>
    <col collapsed="false" customWidth="true" hidden="false" outlineLevel="0" max="6" min="6" style="0" width="10.85"/>
    <col collapsed="false" customWidth="true" hidden="false" outlineLevel="0" max="7" min="7" style="0" width="13.42"/>
    <col collapsed="false" customWidth="true" hidden="false" outlineLevel="0" max="8" min="8" style="0" width="3.71"/>
  </cols>
  <sheetData>
    <row r="1" customFormat="false" ht="19.7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3"/>
    </row>
    <row r="2" customFormat="false" ht="15" hidden="false" customHeight="false" outlineLevel="0" collapsed="false">
      <c r="A2" s="4"/>
      <c r="H2" s="5"/>
    </row>
    <row r="3" customFormat="false" ht="15" hidden="false" customHeight="false" outlineLevel="0" collapsed="false">
      <c r="A3" s="4"/>
      <c r="B3" s="6" t="s">
        <v>1</v>
      </c>
      <c r="C3" s="7" t="s">
        <v>2</v>
      </c>
      <c r="D3" s="8"/>
      <c r="E3" s="6" t="s">
        <v>3</v>
      </c>
      <c r="F3" s="9" t="s">
        <v>4</v>
      </c>
      <c r="G3" s="7"/>
      <c r="H3" s="5"/>
    </row>
    <row r="4" customFormat="false" ht="15" hidden="false" customHeight="false" outlineLevel="0" collapsed="false">
      <c r="A4" s="4"/>
      <c r="B4" s="10" t="s">
        <v>5</v>
      </c>
      <c r="C4" s="11" t="n">
        <v>2486</v>
      </c>
      <c r="D4" s="8"/>
      <c r="E4" s="10" t="s">
        <v>6</v>
      </c>
      <c r="F4" s="12" t="n">
        <v>44539</v>
      </c>
      <c r="G4" s="13"/>
      <c r="H4" s="5"/>
    </row>
    <row r="5" customFormat="false" ht="15" hidden="false" customHeight="false" outlineLevel="0" collapsed="false">
      <c r="A5" s="4"/>
      <c r="B5" s="10" t="s">
        <v>7</v>
      </c>
      <c r="C5" s="13" t="s">
        <v>8</v>
      </c>
      <c r="D5" s="8"/>
      <c r="E5" s="10" t="s">
        <v>9</v>
      </c>
      <c r="F5" s="12" t="s">
        <v>10</v>
      </c>
      <c r="G5" s="13"/>
      <c r="H5" s="5"/>
    </row>
    <row r="6" customFormat="false" ht="15" hidden="false" customHeight="false" outlineLevel="0" collapsed="false">
      <c r="A6" s="4"/>
      <c r="B6" s="14" t="s">
        <v>11</v>
      </c>
      <c r="C6" s="15" t="n">
        <f aca="true">TODAY()</f>
        <v>45953</v>
      </c>
      <c r="D6" s="8"/>
      <c r="E6" s="10" t="s">
        <v>12</v>
      </c>
      <c r="F6" s="8" t="s">
        <v>13</v>
      </c>
      <c r="G6" s="16"/>
      <c r="H6" s="5"/>
    </row>
    <row r="7" customFormat="false" ht="15" hidden="false" customHeight="false" outlineLevel="0" collapsed="false">
      <c r="A7" s="4"/>
      <c r="B7" s="8"/>
      <c r="C7" s="17"/>
      <c r="D7" s="8"/>
      <c r="E7" s="14" t="s">
        <v>14</v>
      </c>
      <c r="F7" s="18" t="s">
        <v>13</v>
      </c>
      <c r="G7" s="19"/>
      <c r="H7" s="5"/>
    </row>
    <row r="8" customFormat="false" ht="15" hidden="false" customHeight="false" outlineLevel="0" collapsed="false">
      <c r="A8" s="4"/>
      <c r="B8" s="20" t="s">
        <v>15</v>
      </c>
      <c r="C8" s="20"/>
      <c r="D8" s="8"/>
      <c r="E8" s="8"/>
      <c r="F8" s="8"/>
      <c r="G8" s="8"/>
      <c r="H8" s="5"/>
    </row>
    <row r="9" customFormat="false" ht="15" hidden="false" customHeight="false" outlineLevel="0" collapsed="false">
      <c r="A9" s="4"/>
      <c r="B9" s="21" t="n">
        <v>45434.6576388889</v>
      </c>
      <c r="C9" s="21"/>
      <c r="D9" s="8"/>
      <c r="E9" s="8"/>
      <c r="F9" s="8"/>
      <c r="G9" s="8"/>
      <c r="H9" s="5"/>
    </row>
    <row r="10" customFormat="false" ht="15" hidden="false" customHeight="false" outlineLevel="0" collapsed="false">
      <c r="A10" s="4"/>
      <c r="B10" s="22"/>
      <c r="C10" s="22"/>
      <c r="D10" s="8"/>
      <c r="E10" s="6" t="s">
        <v>16</v>
      </c>
      <c r="F10" s="23" t="n">
        <v>0.5</v>
      </c>
      <c r="G10" s="23"/>
      <c r="H10" s="5"/>
    </row>
    <row r="11" customFormat="false" ht="15" hidden="false" customHeight="false" outlineLevel="0" collapsed="false">
      <c r="A11" s="4"/>
      <c r="B11" s="24" t="s">
        <v>17</v>
      </c>
      <c r="C11" s="24"/>
      <c r="D11" s="8"/>
      <c r="E11" s="10" t="s">
        <v>18</v>
      </c>
      <c r="F11" s="25" t="n">
        <f aca="false">(B15-B12)*24</f>
        <v>36.2500000001164</v>
      </c>
      <c r="G11" s="25"/>
      <c r="H11" s="5"/>
    </row>
    <row r="12" customFormat="false" ht="15" hidden="false" customHeight="false" outlineLevel="0" collapsed="false">
      <c r="A12" s="4"/>
      <c r="B12" s="26" t="n">
        <f aca="false">B9+0.5</f>
        <v>45435.1576388889</v>
      </c>
      <c r="C12" s="26"/>
      <c r="D12" s="8"/>
      <c r="E12" s="10" t="s">
        <v>19</v>
      </c>
      <c r="F12" s="27" t="n">
        <v>45.39</v>
      </c>
      <c r="G12" s="27"/>
      <c r="H12" s="5"/>
    </row>
    <row r="13" customFormat="false" ht="15" hidden="false" customHeight="false" outlineLevel="0" collapsed="false">
      <c r="A13" s="4"/>
      <c r="B13" s="8"/>
      <c r="C13" s="8"/>
      <c r="D13" s="8"/>
      <c r="E13" s="14" t="s">
        <v>20</v>
      </c>
      <c r="F13" s="28" t="n">
        <f aca="false">F10*F11*F12</f>
        <v>822.693750002642</v>
      </c>
      <c r="G13" s="28"/>
      <c r="H13" s="5"/>
    </row>
    <row r="14" customFormat="false" ht="15" hidden="false" customHeight="false" outlineLevel="0" collapsed="false">
      <c r="A14" s="4"/>
      <c r="B14" s="20" t="s">
        <v>21</v>
      </c>
      <c r="C14" s="20"/>
      <c r="D14" s="8"/>
      <c r="E14" s="29" t="s">
        <v>22</v>
      </c>
      <c r="F14" s="29"/>
      <c r="G14" s="29"/>
      <c r="H14" s="5"/>
    </row>
    <row r="15" customFormat="false" ht="15" hidden="false" customHeight="false" outlineLevel="0" collapsed="false">
      <c r="A15" s="4"/>
      <c r="B15" s="30" t="n">
        <v>45436.6680555556</v>
      </c>
      <c r="C15" s="30"/>
      <c r="D15" s="8"/>
      <c r="E15" s="8" t="s">
        <v>23</v>
      </c>
      <c r="F15" s="8" t="s">
        <v>24</v>
      </c>
      <c r="G15" s="8"/>
      <c r="H15" s="5"/>
    </row>
    <row r="16" customFormat="false" ht="15" hidden="false" customHeight="false" outlineLevel="0" collapsed="false">
      <c r="A16" s="4"/>
      <c r="B16" s="8"/>
      <c r="C16" s="8"/>
      <c r="D16" s="31"/>
      <c r="F16" s="8"/>
      <c r="G16" s="8"/>
      <c r="H16" s="5"/>
    </row>
    <row r="17" customFormat="false" ht="15" hidden="false" customHeight="false" outlineLevel="0" collapsed="false">
      <c r="A17" s="32"/>
      <c r="B17" s="33"/>
      <c r="C17" s="33"/>
      <c r="D17" s="33"/>
      <c r="E17" s="33"/>
      <c r="F17" s="33"/>
      <c r="G17" s="33"/>
      <c r="H17" s="34"/>
    </row>
  </sheetData>
  <mergeCells count="12">
    <mergeCell ref="B1:G1"/>
    <mergeCell ref="B8:C8"/>
    <mergeCell ref="B9:C9"/>
    <mergeCell ref="F10:G10"/>
    <mergeCell ref="B11:C11"/>
    <mergeCell ref="F11:G11"/>
    <mergeCell ref="B12:C12"/>
    <mergeCell ref="F12:G12"/>
    <mergeCell ref="F13:G13"/>
    <mergeCell ref="B14:C14"/>
    <mergeCell ref="E14:G14"/>
    <mergeCell ref="B15:C1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17.42"/>
    <col collapsed="false" customWidth="true" hidden="false" outlineLevel="0" max="3" min="3" style="0" width="16.43"/>
    <col collapsed="false" customWidth="true" hidden="false" outlineLevel="0" max="4" min="4" style="0" width="10.14"/>
    <col collapsed="false" customWidth="true" hidden="false" outlineLevel="0" max="5" min="5" style="0" width="16.71"/>
    <col collapsed="false" customWidth="true" hidden="false" outlineLevel="0" max="6" min="6" style="0" width="10.85"/>
    <col collapsed="false" customWidth="true" hidden="false" outlineLevel="0" max="7" min="7" style="0" width="13.42"/>
    <col collapsed="false" customWidth="true" hidden="false" outlineLevel="0" max="8" min="8" style="0" width="3.71"/>
  </cols>
  <sheetData>
    <row r="1" customFormat="false" ht="19.7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3"/>
    </row>
    <row r="2" customFormat="false" ht="15" hidden="false" customHeight="false" outlineLevel="0" collapsed="false">
      <c r="A2" s="4"/>
      <c r="H2" s="5"/>
    </row>
    <row r="3" customFormat="false" ht="15" hidden="false" customHeight="false" outlineLevel="0" collapsed="false">
      <c r="A3" s="4"/>
      <c r="B3" s="6" t="s">
        <v>1</v>
      </c>
      <c r="C3" s="7" t="s">
        <v>2</v>
      </c>
      <c r="D3" s="8"/>
      <c r="E3" s="6" t="s">
        <v>3</v>
      </c>
      <c r="F3" s="9" t="s">
        <v>4</v>
      </c>
      <c r="G3" s="7"/>
      <c r="H3" s="5"/>
    </row>
    <row r="4" customFormat="false" ht="15" hidden="false" customHeight="false" outlineLevel="0" collapsed="false">
      <c r="A4" s="4"/>
      <c r="B4" s="10" t="s">
        <v>5</v>
      </c>
      <c r="C4" s="11" t="n">
        <v>2486</v>
      </c>
      <c r="D4" s="8"/>
      <c r="E4" s="10" t="s">
        <v>6</v>
      </c>
      <c r="F4" s="12" t="n">
        <v>44539</v>
      </c>
      <c r="G4" s="13"/>
      <c r="H4" s="5"/>
    </row>
    <row r="5" customFormat="false" ht="15" hidden="false" customHeight="false" outlineLevel="0" collapsed="false">
      <c r="A5" s="4"/>
      <c r="B5" s="10" t="s">
        <v>7</v>
      </c>
      <c r="C5" s="13" t="s">
        <v>8</v>
      </c>
      <c r="D5" s="8"/>
      <c r="E5" s="10" t="s">
        <v>9</v>
      </c>
      <c r="F5" s="12" t="s">
        <v>10</v>
      </c>
      <c r="G5" s="13"/>
      <c r="H5" s="5"/>
    </row>
    <row r="6" customFormat="false" ht="15" hidden="false" customHeight="false" outlineLevel="0" collapsed="false">
      <c r="A6" s="4"/>
      <c r="B6" s="14" t="s">
        <v>11</v>
      </c>
      <c r="C6" s="15" t="n">
        <f aca="true">TODAY()</f>
        <v>45953</v>
      </c>
      <c r="D6" s="8"/>
      <c r="E6" s="10" t="s">
        <v>12</v>
      </c>
      <c r="F6" s="8" t="s">
        <v>13</v>
      </c>
      <c r="G6" s="16"/>
      <c r="H6" s="5"/>
    </row>
    <row r="7" customFormat="false" ht="15" hidden="false" customHeight="false" outlineLevel="0" collapsed="false">
      <c r="A7" s="4"/>
      <c r="B7" s="8"/>
      <c r="C7" s="17"/>
      <c r="D7" s="8"/>
      <c r="E7" s="14" t="s">
        <v>14</v>
      </c>
      <c r="F7" s="18" t="s">
        <v>13</v>
      </c>
      <c r="G7" s="19"/>
      <c r="H7" s="5"/>
    </row>
    <row r="8" customFormat="false" ht="15" hidden="false" customHeight="false" outlineLevel="0" collapsed="false">
      <c r="A8" s="4"/>
      <c r="B8" s="20" t="s">
        <v>15</v>
      </c>
      <c r="C8" s="20"/>
      <c r="D8" s="8"/>
      <c r="E8" s="8"/>
      <c r="F8" s="8"/>
      <c r="G8" s="8"/>
      <c r="H8" s="5"/>
    </row>
    <row r="9" customFormat="false" ht="15" hidden="false" customHeight="false" outlineLevel="0" collapsed="false">
      <c r="A9" s="4"/>
      <c r="B9" s="21" t="n">
        <v>45434.6576388889</v>
      </c>
      <c r="C9" s="21"/>
      <c r="D9" s="8"/>
      <c r="E9" s="8"/>
      <c r="F9" s="8"/>
      <c r="G9" s="8"/>
      <c r="H9" s="5"/>
    </row>
    <row r="10" customFormat="false" ht="15" hidden="false" customHeight="false" outlineLevel="0" collapsed="false">
      <c r="A10" s="4"/>
      <c r="B10" s="22"/>
      <c r="C10" s="22"/>
      <c r="D10" s="8"/>
      <c r="E10" s="6" t="s">
        <v>16</v>
      </c>
      <c r="F10" s="23" t="n">
        <v>0.5</v>
      </c>
      <c r="G10" s="23"/>
      <c r="H10" s="5"/>
    </row>
    <row r="11" customFormat="false" ht="15" hidden="false" customHeight="false" outlineLevel="0" collapsed="false">
      <c r="A11" s="4"/>
      <c r="B11" s="24" t="s">
        <v>17</v>
      </c>
      <c r="C11" s="24"/>
      <c r="D11" s="8"/>
      <c r="E11" s="10" t="s">
        <v>18</v>
      </c>
      <c r="F11" s="25" t="n">
        <f aca="false">(B15-B12)*24</f>
        <v>36.2500000001164</v>
      </c>
      <c r="G11" s="25"/>
      <c r="H11" s="5"/>
    </row>
    <row r="12" customFormat="false" ht="15" hidden="false" customHeight="false" outlineLevel="0" collapsed="false">
      <c r="A12" s="4"/>
      <c r="B12" s="26" t="n">
        <f aca="false">B9+0.5</f>
        <v>45435.1576388889</v>
      </c>
      <c r="C12" s="26"/>
      <c r="D12" s="8"/>
      <c r="E12" s="10" t="s">
        <v>19</v>
      </c>
      <c r="F12" s="27" t="n">
        <v>45.39</v>
      </c>
      <c r="G12" s="27"/>
      <c r="H12" s="5"/>
    </row>
    <row r="13" customFormat="false" ht="15" hidden="false" customHeight="false" outlineLevel="0" collapsed="false">
      <c r="A13" s="4"/>
      <c r="B13" s="8"/>
      <c r="C13" s="8"/>
      <c r="D13" s="8"/>
      <c r="E13" s="14" t="s">
        <v>20</v>
      </c>
      <c r="F13" s="28" t="n">
        <f aca="false">F10*F11*F12</f>
        <v>822.693750002642</v>
      </c>
      <c r="G13" s="28"/>
      <c r="H13" s="5"/>
    </row>
    <row r="14" customFormat="false" ht="15" hidden="false" customHeight="false" outlineLevel="0" collapsed="false">
      <c r="A14" s="4"/>
      <c r="B14" s="20" t="s">
        <v>21</v>
      </c>
      <c r="C14" s="20"/>
      <c r="D14" s="8"/>
      <c r="E14" s="29" t="s">
        <v>22</v>
      </c>
      <c r="F14" s="29"/>
      <c r="G14" s="29"/>
      <c r="H14" s="5"/>
    </row>
    <row r="15" customFormat="false" ht="15" hidden="false" customHeight="false" outlineLevel="0" collapsed="false">
      <c r="A15" s="4"/>
      <c r="B15" s="30" t="n">
        <v>45436.6680555556</v>
      </c>
      <c r="C15" s="30"/>
      <c r="D15" s="8"/>
      <c r="E15" s="8" t="s">
        <v>23</v>
      </c>
      <c r="F15" s="8" t="s">
        <v>24</v>
      </c>
      <c r="G15" s="8"/>
      <c r="H15" s="5"/>
    </row>
    <row r="16" customFormat="false" ht="15" hidden="false" customHeight="false" outlineLevel="0" collapsed="false">
      <c r="A16" s="4"/>
      <c r="B16" s="8"/>
      <c r="C16" s="8"/>
      <c r="D16" s="31"/>
      <c r="F16" s="8"/>
      <c r="G16" s="8"/>
      <c r="H16" s="5"/>
    </row>
    <row r="17" customFormat="false" ht="15" hidden="false" customHeight="false" outlineLevel="0" collapsed="false">
      <c r="A17" s="32"/>
      <c r="B17" s="33"/>
      <c r="C17" s="33"/>
      <c r="D17" s="33"/>
      <c r="E17" s="33"/>
      <c r="F17" s="33"/>
      <c r="G17" s="33"/>
      <c r="H17" s="34"/>
    </row>
  </sheetData>
  <mergeCells count="12">
    <mergeCell ref="B1:G1"/>
    <mergeCell ref="B8:C8"/>
    <mergeCell ref="B9:C9"/>
    <mergeCell ref="F10:G10"/>
    <mergeCell ref="B11:C11"/>
    <mergeCell ref="F11:G11"/>
    <mergeCell ref="B12:C12"/>
    <mergeCell ref="F12:G12"/>
    <mergeCell ref="F13:G13"/>
    <mergeCell ref="B14:C14"/>
    <mergeCell ref="E14:G14"/>
    <mergeCell ref="B15:C1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17.42"/>
    <col collapsed="false" customWidth="true" hidden="false" outlineLevel="0" max="3" min="3" style="0" width="16.43"/>
    <col collapsed="false" customWidth="true" hidden="false" outlineLevel="0" max="4" min="4" style="0" width="10.14"/>
    <col collapsed="false" customWidth="true" hidden="false" outlineLevel="0" max="5" min="5" style="0" width="16.71"/>
    <col collapsed="false" customWidth="true" hidden="false" outlineLevel="0" max="6" min="6" style="0" width="10.85"/>
    <col collapsed="false" customWidth="true" hidden="false" outlineLevel="0" max="7" min="7" style="0" width="13.42"/>
    <col collapsed="false" customWidth="true" hidden="false" outlineLevel="0" max="8" min="8" style="0" width="3.71"/>
  </cols>
  <sheetData>
    <row r="1" customFormat="false" ht="19.7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3"/>
    </row>
    <row r="2" customFormat="false" ht="15" hidden="false" customHeight="false" outlineLevel="0" collapsed="false">
      <c r="A2" s="4"/>
      <c r="H2" s="5"/>
    </row>
    <row r="3" customFormat="false" ht="15" hidden="false" customHeight="false" outlineLevel="0" collapsed="false">
      <c r="A3" s="4"/>
      <c r="B3" s="6" t="s">
        <v>1</v>
      </c>
      <c r="C3" s="7" t="s">
        <v>2</v>
      </c>
      <c r="D3" s="8"/>
      <c r="E3" s="6" t="s">
        <v>3</v>
      </c>
      <c r="F3" s="9" t="s">
        <v>4</v>
      </c>
      <c r="G3" s="7"/>
      <c r="H3" s="5"/>
    </row>
    <row r="4" customFormat="false" ht="15" hidden="false" customHeight="false" outlineLevel="0" collapsed="false">
      <c r="A4" s="4"/>
      <c r="B4" s="10" t="s">
        <v>5</v>
      </c>
      <c r="C4" s="11" t="n">
        <v>2486</v>
      </c>
      <c r="D4" s="8"/>
      <c r="E4" s="10" t="s">
        <v>6</v>
      </c>
      <c r="F4" s="12" t="n">
        <v>44539</v>
      </c>
      <c r="G4" s="13"/>
      <c r="H4" s="5"/>
    </row>
    <row r="5" customFormat="false" ht="15" hidden="false" customHeight="false" outlineLevel="0" collapsed="false">
      <c r="A5" s="4"/>
      <c r="B5" s="10" t="s">
        <v>7</v>
      </c>
      <c r="C5" s="13" t="s">
        <v>8</v>
      </c>
      <c r="D5" s="8"/>
      <c r="E5" s="10" t="s">
        <v>9</v>
      </c>
      <c r="F5" s="12" t="s">
        <v>10</v>
      </c>
      <c r="G5" s="13"/>
      <c r="H5" s="5"/>
    </row>
    <row r="6" customFormat="false" ht="15" hidden="false" customHeight="false" outlineLevel="0" collapsed="false">
      <c r="A6" s="4"/>
      <c r="B6" s="14" t="s">
        <v>11</v>
      </c>
      <c r="C6" s="15" t="n">
        <f aca="true">TODAY()</f>
        <v>45953</v>
      </c>
      <c r="D6" s="8"/>
      <c r="E6" s="10" t="s">
        <v>12</v>
      </c>
      <c r="F6" s="8" t="s">
        <v>13</v>
      </c>
      <c r="G6" s="16"/>
      <c r="H6" s="5"/>
    </row>
    <row r="7" customFormat="false" ht="15" hidden="false" customHeight="false" outlineLevel="0" collapsed="false">
      <c r="A7" s="4"/>
      <c r="B7" s="8"/>
      <c r="C7" s="17"/>
      <c r="D7" s="8"/>
      <c r="E7" s="14" t="s">
        <v>14</v>
      </c>
      <c r="F7" s="18" t="s">
        <v>13</v>
      </c>
      <c r="G7" s="19"/>
      <c r="H7" s="5"/>
    </row>
    <row r="8" customFormat="false" ht="15" hidden="false" customHeight="false" outlineLevel="0" collapsed="false">
      <c r="A8" s="4"/>
      <c r="B8" s="20" t="s">
        <v>15</v>
      </c>
      <c r="C8" s="20"/>
      <c r="D8" s="8"/>
      <c r="E8" s="8"/>
      <c r="F8" s="8"/>
      <c r="G8" s="8"/>
      <c r="H8" s="5"/>
    </row>
    <row r="9" customFormat="false" ht="15" hidden="false" customHeight="false" outlineLevel="0" collapsed="false">
      <c r="A9" s="4"/>
      <c r="B9" s="21" t="n">
        <v>45434.6576388889</v>
      </c>
      <c r="C9" s="21"/>
      <c r="D9" s="8"/>
      <c r="E9" s="8"/>
      <c r="F9" s="8"/>
      <c r="G9" s="8"/>
      <c r="H9" s="5"/>
    </row>
    <row r="10" customFormat="false" ht="15" hidden="false" customHeight="false" outlineLevel="0" collapsed="false">
      <c r="A10" s="4"/>
      <c r="B10" s="22"/>
      <c r="C10" s="22"/>
      <c r="D10" s="8"/>
      <c r="E10" s="6" t="s">
        <v>16</v>
      </c>
      <c r="F10" s="23" t="n">
        <v>0.5</v>
      </c>
      <c r="G10" s="23"/>
      <c r="H10" s="5"/>
    </row>
    <row r="11" customFormat="false" ht="15" hidden="false" customHeight="false" outlineLevel="0" collapsed="false">
      <c r="A11" s="4"/>
      <c r="B11" s="24" t="s">
        <v>17</v>
      </c>
      <c r="C11" s="24"/>
      <c r="D11" s="8"/>
      <c r="E11" s="10" t="s">
        <v>18</v>
      </c>
      <c r="F11" s="25" t="n">
        <f aca="false">(B15-B12)*24</f>
        <v>36.2500000001164</v>
      </c>
      <c r="G11" s="25"/>
      <c r="H11" s="5"/>
    </row>
    <row r="12" customFormat="false" ht="15" hidden="false" customHeight="false" outlineLevel="0" collapsed="false">
      <c r="A12" s="4"/>
      <c r="B12" s="26" t="n">
        <f aca="false">B9+0.5</f>
        <v>45435.1576388889</v>
      </c>
      <c r="C12" s="26"/>
      <c r="D12" s="8"/>
      <c r="E12" s="10" t="s">
        <v>19</v>
      </c>
      <c r="F12" s="27" t="n">
        <v>45.39</v>
      </c>
      <c r="G12" s="27"/>
      <c r="H12" s="5"/>
    </row>
    <row r="13" customFormat="false" ht="15" hidden="false" customHeight="false" outlineLevel="0" collapsed="false">
      <c r="A13" s="4"/>
      <c r="B13" s="8"/>
      <c r="C13" s="8"/>
      <c r="D13" s="8"/>
      <c r="E13" s="14" t="s">
        <v>20</v>
      </c>
      <c r="F13" s="28" t="n">
        <f aca="false">F10*F11*F12</f>
        <v>822.693750002642</v>
      </c>
      <c r="G13" s="28"/>
      <c r="H13" s="5"/>
    </row>
    <row r="14" customFormat="false" ht="15" hidden="false" customHeight="false" outlineLevel="0" collapsed="false">
      <c r="A14" s="4"/>
      <c r="B14" s="20" t="s">
        <v>21</v>
      </c>
      <c r="C14" s="20"/>
      <c r="D14" s="8"/>
      <c r="E14" s="29" t="s">
        <v>22</v>
      </c>
      <c r="F14" s="29"/>
      <c r="G14" s="29"/>
      <c r="H14" s="5"/>
    </row>
    <row r="15" customFormat="false" ht="15" hidden="false" customHeight="false" outlineLevel="0" collapsed="false">
      <c r="A15" s="4"/>
      <c r="B15" s="30" t="n">
        <v>45436.6680555556</v>
      </c>
      <c r="C15" s="30"/>
      <c r="D15" s="8"/>
      <c r="E15" s="8" t="s">
        <v>23</v>
      </c>
      <c r="F15" s="8" t="s">
        <v>24</v>
      </c>
      <c r="G15" s="8"/>
      <c r="H15" s="5"/>
    </row>
    <row r="16" customFormat="false" ht="15" hidden="false" customHeight="false" outlineLevel="0" collapsed="false">
      <c r="A16" s="4"/>
      <c r="B16" s="8"/>
      <c r="C16" s="8"/>
      <c r="D16" s="31"/>
      <c r="F16" s="8"/>
      <c r="G16" s="8"/>
      <c r="H16" s="5"/>
    </row>
    <row r="17" customFormat="false" ht="15" hidden="false" customHeight="false" outlineLevel="0" collapsed="false">
      <c r="A17" s="32"/>
      <c r="B17" s="33"/>
      <c r="C17" s="33"/>
      <c r="D17" s="33"/>
      <c r="E17" s="33"/>
      <c r="F17" s="33"/>
      <c r="G17" s="33"/>
      <c r="H17" s="34"/>
    </row>
  </sheetData>
  <mergeCells count="12">
    <mergeCell ref="B1:G1"/>
    <mergeCell ref="B8:C8"/>
    <mergeCell ref="B9:C9"/>
    <mergeCell ref="F10:G10"/>
    <mergeCell ref="B11:C11"/>
    <mergeCell ref="F11:G11"/>
    <mergeCell ref="B12:C12"/>
    <mergeCell ref="F12:G12"/>
    <mergeCell ref="F13:G13"/>
    <mergeCell ref="B14:C14"/>
    <mergeCell ref="E14:G14"/>
    <mergeCell ref="B15:C1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17.42"/>
    <col collapsed="false" customWidth="true" hidden="false" outlineLevel="0" max="3" min="3" style="0" width="16.43"/>
    <col collapsed="false" customWidth="true" hidden="false" outlineLevel="0" max="4" min="4" style="0" width="10.14"/>
    <col collapsed="false" customWidth="true" hidden="false" outlineLevel="0" max="5" min="5" style="0" width="16.71"/>
    <col collapsed="false" customWidth="true" hidden="false" outlineLevel="0" max="6" min="6" style="0" width="10.85"/>
    <col collapsed="false" customWidth="true" hidden="false" outlineLevel="0" max="7" min="7" style="0" width="13.42"/>
    <col collapsed="false" customWidth="true" hidden="false" outlineLevel="0" max="8" min="8" style="0" width="3.71"/>
  </cols>
  <sheetData>
    <row r="1" customFormat="false" ht="19.7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3"/>
    </row>
    <row r="2" customFormat="false" ht="15" hidden="false" customHeight="false" outlineLevel="0" collapsed="false">
      <c r="A2" s="4"/>
      <c r="H2" s="5"/>
    </row>
    <row r="3" customFormat="false" ht="15" hidden="false" customHeight="false" outlineLevel="0" collapsed="false">
      <c r="A3" s="4"/>
      <c r="B3" s="6" t="s">
        <v>1</v>
      </c>
      <c r="C3" s="35" t="s">
        <v>25</v>
      </c>
      <c r="D3" s="8"/>
      <c r="E3" s="6" t="s">
        <v>3</v>
      </c>
      <c r="F3" s="36" t="s">
        <v>26</v>
      </c>
      <c r="G3" s="35"/>
      <c r="H3" s="5"/>
    </row>
    <row r="4" customFormat="false" ht="15" hidden="false" customHeight="false" outlineLevel="0" collapsed="false">
      <c r="A4" s="4"/>
      <c r="B4" s="10" t="s">
        <v>5</v>
      </c>
      <c r="C4" s="37" t="n">
        <v>20020</v>
      </c>
      <c r="D4" s="8"/>
      <c r="E4" s="10" t="s">
        <v>6</v>
      </c>
      <c r="F4" s="38" t="n">
        <v>152</v>
      </c>
      <c r="G4" s="39"/>
      <c r="H4" s="5"/>
    </row>
    <row r="5" customFormat="false" ht="15" hidden="false" customHeight="false" outlineLevel="0" collapsed="false">
      <c r="A5" s="4"/>
      <c r="B5" s="10" t="s">
        <v>7</v>
      </c>
      <c r="C5" s="39" t="s">
        <v>27</v>
      </c>
      <c r="D5" s="8"/>
      <c r="E5" s="10" t="s">
        <v>9</v>
      </c>
      <c r="F5" s="38" t="s">
        <v>28</v>
      </c>
      <c r="G5" s="39"/>
      <c r="H5" s="5"/>
    </row>
    <row r="6" customFormat="false" ht="15" hidden="false" customHeight="false" outlineLevel="0" collapsed="false">
      <c r="A6" s="4"/>
      <c r="B6" s="14" t="s">
        <v>11</v>
      </c>
      <c r="C6" s="40" t="n">
        <f aca="true">TODAY()</f>
        <v>45953</v>
      </c>
      <c r="D6" s="8"/>
      <c r="E6" s="10" t="s">
        <v>12</v>
      </c>
      <c r="F6" s="8" t="s">
        <v>13</v>
      </c>
      <c r="G6" s="16"/>
      <c r="H6" s="5"/>
    </row>
    <row r="7" customFormat="false" ht="15" hidden="false" customHeight="false" outlineLevel="0" collapsed="false">
      <c r="A7" s="4"/>
      <c r="B7" s="8"/>
      <c r="C7" s="17"/>
      <c r="D7" s="8"/>
      <c r="E7" s="14" t="s">
        <v>14</v>
      </c>
      <c r="F7" s="18" t="s">
        <v>13</v>
      </c>
      <c r="G7" s="19"/>
      <c r="H7" s="5"/>
    </row>
    <row r="8" customFormat="false" ht="15" hidden="false" customHeight="false" outlineLevel="0" collapsed="false">
      <c r="A8" s="4"/>
      <c r="B8" s="20" t="s">
        <v>15</v>
      </c>
      <c r="C8" s="20"/>
      <c r="D8" s="8"/>
      <c r="E8" s="8"/>
      <c r="F8" s="8"/>
      <c r="G8" s="8"/>
      <c r="H8" s="5"/>
    </row>
    <row r="9" customFormat="false" ht="15" hidden="false" customHeight="false" outlineLevel="0" collapsed="false">
      <c r="A9" s="4"/>
      <c r="B9" s="41" t="n">
        <v>45519.8777777778</v>
      </c>
      <c r="C9" s="41"/>
      <c r="D9" s="8"/>
      <c r="E9" s="8"/>
      <c r="F9" s="8"/>
      <c r="G9" s="8"/>
      <c r="H9" s="5"/>
    </row>
    <row r="10" customFormat="false" ht="15" hidden="false" customHeight="false" outlineLevel="0" collapsed="false">
      <c r="A10" s="4"/>
      <c r="B10" s="22"/>
      <c r="C10" s="22"/>
      <c r="D10" s="8"/>
      <c r="E10" s="6" t="s">
        <v>16</v>
      </c>
      <c r="F10" s="23" t="n">
        <v>0.5</v>
      </c>
      <c r="G10" s="23"/>
      <c r="H10" s="5"/>
    </row>
    <row r="11" customFormat="false" ht="15" hidden="false" customHeight="false" outlineLevel="0" collapsed="false">
      <c r="A11" s="4"/>
      <c r="B11" s="24" t="s">
        <v>17</v>
      </c>
      <c r="C11" s="24"/>
      <c r="D11" s="8"/>
      <c r="E11" s="10" t="s">
        <v>18</v>
      </c>
      <c r="F11" s="25" t="n">
        <f aca="false">(B15-B12)*24</f>
        <v>41.233333333279</v>
      </c>
      <c r="G11" s="25"/>
      <c r="H11" s="5"/>
    </row>
    <row r="12" customFormat="false" ht="15" hidden="false" customHeight="false" outlineLevel="0" collapsed="false">
      <c r="A12" s="4"/>
      <c r="B12" s="26" t="n">
        <f aca="false">B9+0.5</f>
        <v>45520.3777777778</v>
      </c>
      <c r="C12" s="26"/>
      <c r="D12" s="8"/>
      <c r="E12" s="10" t="s">
        <v>19</v>
      </c>
      <c r="F12" s="42" t="n">
        <v>47.08</v>
      </c>
      <c r="G12" s="42"/>
      <c r="H12" s="5"/>
    </row>
    <row r="13" customFormat="false" ht="15" hidden="false" customHeight="false" outlineLevel="0" collapsed="false">
      <c r="A13" s="4"/>
      <c r="B13" s="8"/>
      <c r="C13" s="8"/>
      <c r="D13" s="8"/>
      <c r="E13" s="14" t="s">
        <v>20</v>
      </c>
      <c r="F13" s="28" t="n">
        <f aca="false">F10*F11*F12</f>
        <v>970.632666665388</v>
      </c>
      <c r="G13" s="28"/>
      <c r="H13" s="5"/>
    </row>
    <row r="14" customFormat="false" ht="15" hidden="false" customHeight="false" outlineLevel="0" collapsed="false">
      <c r="A14" s="4"/>
      <c r="B14" s="20" t="s">
        <v>21</v>
      </c>
      <c r="C14" s="20"/>
      <c r="D14" s="8"/>
      <c r="H14" s="5"/>
    </row>
    <row r="15" customFormat="false" ht="15" hidden="false" customHeight="false" outlineLevel="0" collapsed="false">
      <c r="A15" s="4"/>
      <c r="B15" s="41" t="n">
        <v>45522.0958333333</v>
      </c>
      <c r="C15" s="41"/>
      <c r="D15" s="8"/>
      <c r="H15" s="5"/>
    </row>
    <row r="16" customFormat="false" ht="15" hidden="false" customHeight="false" outlineLevel="0" collapsed="false">
      <c r="A16" s="4"/>
      <c r="B16" s="8"/>
      <c r="C16" s="8"/>
      <c r="D16" s="31"/>
      <c r="E16" s="43" t="s">
        <v>29</v>
      </c>
      <c r="F16" s="43"/>
      <c r="G16" s="43"/>
      <c r="H16" s="5"/>
    </row>
    <row r="17" customFormat="false" ht="15" hidden="false" customHeight="false" outlineLevel="0" collapsed="false">
      <c r="A17" s="4"/>
      <c r="E17" s="8" t="s">
        <v>23</v>
      </c>
      <c r="F17" s="8" t="s">
        <v>24</v>
      </c>
      <c r="G17" s="8"/>
      <c r="H17" s="5"/>
    </row>
    <row r="18" customFormat="false" ht="15" hidden="false" customHeight="false" outlineLevel="0" collapsed="false">
      <c r="A18" s="4"/>
      <c r="H18" s="5"/>
    </row>
    <row r="19" customFormat="false" ht="15" hidden="false" customHeight="false" outlineLevel="0" collapsed="false">
      <c r="A19" s="4"/>
      <c r="H19" s="5"/>
    </row>
    <row r="20" customFormat="false" ht="15" hidden="false" customHeight="false" outlineLevel="0" collapsed="false">
      <c r="A20" s="32"/>
      <c r="B20" s="33"/>
      <c r="C20" s="33"/>
      <c r="D20" s="33"/>
      <c r="E20" s="33"/>
      <c r="F20" s="33"/>
      <c r="G20" s="33"/>
      <c r="H20" s="34"/>
    </row>
  </sheetData>
  <mergeCells count="11">
    <mergeCell ref="B1:G1"/>
    <mergeCell ref="B8:C8"/>
    <mergeCell ref="B9:C9"/>
    <mergeCell ref="F10:G10"/>
    <mergeCell ref="B11:C11"/>
    <mergeCell ref="F11:G11"/>
    <mergeCell ref="B12:C12"/>
    <mergeCell ref="F12:G12"/>
    <mergeCell ref="F13:G13"/>
    <mergeCell ref="B14:C14"/>
    <mergeCell ref="B15:C1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B166025A78A24482A3C153E4222EA9" ma:contentTypeVersion="13" ma:contentTypeDescription="Crie um novo documento." ma:contentTypeScope="" ma:versionID="4dfda93ff60816bb52d8310802249953">
  <xsd:schema xmlns:xsd="http://www.w3.org/2001/XMLSchema" xmlns:xs="http://www.w3.org/2001/XMLSchema" xmlns:p="http://schemas.microsoft.com/office/2006/metadata/properties" xmlns:ns3="17c695b0-137b-47ff-9dec-fc69eaad1d3f" xmlns:ns4="d71ddd57-3feb-4140-8059-13c4a110884b" targetNamespace="http://schemas.microsoft.com/office/2006/metadata/properties" ma:root="true" ma:fieldsID="ce757d6f25e35ee740a5096de49f8c97" ns3:_="" ns4:_="">
    <xsd:import namespace="17c695b0-137b-47ff-9dec-fc69eaad1d3f"/>
    <xsd:import namespace="d71ddd57-3feb-4140-8059-13c4a110884b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ingHintHash" minOccurs="0"/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695b0-137b-47ff-9dec-fc69eaad1d3f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9" nillable="true" ma:displayName="Hash de Dica de Compartilhamento" ma:hidden="true" ma:internalName="SharingHintHash" ma:readOnly="true">
      <xsd:simpleType>
        <xsd:restriction base="dms:Text"/>
      </xsd:simpleType>
    </xsd:element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ddd57-3feb-4140-8059-13c4a1108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1ddd57-3feb-4140-8059-13c4a11088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0C5944-D459-473F-B155-DD53DE973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c695b0-137b-47ff-9dec-fc69eaad1d3f"/>
    <ds:schemaRef ds:uri="d71ddd57-3feb-4140-8059-13c4a11088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B78A27-A03C-4B39-969A-88A9D8A259E1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d71ddd57-3feb-4140-8059-13c4a110884b"/>
    <ds:schemaRef ds:uri="17c695b0-137b-47ff-9dec-fc69eaad1d3f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88ECB51E-B144-40BA-A159-3DBA9FE4B0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  <Company>Galvani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2011-02-03T11:29:20Z</dcterms:created>
  <dc:creator>Wmiranda</dc:creator>
  <dc:description/>
  <dc:language>pt-BR</dc:language>
  <cp:lastModifiedBy/>
  <cp:lastPrinted>2024-08-18T05:24:03Z</cp:lastPrinted>
  <dcterms:modified xsi:type="dcterms:W3CDTF">2025-10-23T14:03:09Z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0x010100CBB166025A78A24482A3C153E4222EA9</vt:lpwstr>
  </property>
</Properties>
</file>